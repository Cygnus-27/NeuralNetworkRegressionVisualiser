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mi\OneDrive\Desktop\SSM\"/>
    </mc:Choice>
  </mc:AlternateContent>
  <xr:revisionPtr revIDLastSave="0" documentId="13_ncr:1_{26B9C274-5C73-4C8C-8E5A-A0D362540D07}" xr6:coauthVersionLast="47" xr6:coauthVersionMax="47" xr10:uidLastSave="{00000000-0000-0000-0000-000000000000}"/>
  <bookViews>
    <workbookView xWindow="-120" yWindow="-120" windowWidth="29040" windowHeight="15720" xr2:uid="{F0894A01-EE31-4442-AF3F-F5BBB45AE89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2" l="1"/>
  <c r="G36" i="2"/>
  <c r="F41" i="2" s="1"/>
  <c r="D34" i="2"/>
  <c r="C34" i="2"/>
  <c r="D19" i="2"/>
  <c r="D20" i="2"/>
  <c r="D21" i="2"/>
  <c r="D22" i="2"/>
  <c r="D23" i="2"/>
  <c r="D24" i="2"/>
  <c r="D25" i="2"/>
  <c r="E25" i="2" s="1"/>
  <c r="D26" i="2"/>
  <c r="D27" i="2"/>
  <c r="D18" i="2"/>
  <c r="C19" i="2"/>
  <c r="C20" i="2"/>
  <c r="C21" i="2"/>
  <c r="C22" i="2"/>
  <c r="C23" i="2"/>
  <c r="C24" i="2"/>
  <c r="C25" i="2"/>
  <c r="C26" i="2"/>
  <c r="C27" i="2"/>
  <c r="C18" i="2"/>
  <c r="E27" i="2" l="1"/>
  <c r="E26" i="2"/>
  <c r="F44" i="2"/>
  <c r="F40" i="2"/>
  <c r="F45" i="2"/>
  <c r="F43" i="2"/>
  <c r="F42" i="2"/>
  <c r="C41" i="2"/>
  <c r="E24" i="2"/>
  <c r="E20" i="2"/>
  <c r="E19" i="2"/>
  <c r="C43" i="2"/>
  <c r="C42" i="2"/>
  <c r="C40" i="2"/>
  <c r="E23" i="2"/>
  <c r="E22" i="2"/>
  <c r="E21" i="2"/>
  <c r="E18" i="2"/>
  <c r="F46" i="2" l="1"/>
  <c r="C44" i="2"/>
  <c r="I46" i="2" s="1"/>
</calcChain>
</file>

<file path=xl/sharedStrings.xml><?xml version="1.0" encoding="utf-8"?>
<sst xmlns="http://schemas.openxmlformats.org/spreadsheetml/2006/main" count="93" uniqueCount="28">
  <si>
    <t>Point</t>
  </si>
  <si>
    <t>X</t>
  </si>
  <si>
    <t>Y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</si>
  <si>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</si>
  <si>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</si>
  <si>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</si>
  <si>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</si>
  <si>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</si>
  <si>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</si>
  <si>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</si>
  <si>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</si>
  <si>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</si>
  <si>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</si>
  <si>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Cluster</t>
  </si>
  <si>
    <t>C1</t>
  </si>
  <si>
    <t>C2</t>
  </si>
  <si>
    <t xml:space="preserve">Data </t>
  </si>
  <si>
    <t xml:space="preserve">Step 1 </t>
  </si>
  <si>
    <t>K = 2</t>
  </si>
  <si>
    <t>Step 2</t>
  </si>
  <si>
    <t>Step 3</t>
  </si>
  <si>
    <t>x</t>
  </si>
  <si>
    <t>Step 4</t>
  </si>
  <si>
    <t>SSE</t>
  </si>
  <si>
    <t>Step 5</t>
  </si>
  <si>
    <t>SE</t>
  </si>
  <si>
    <t>Cluster 1</t>
  </si>
  <si>
    <t>Cluster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</si>
</sst>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0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/>
    <xf numFmtId="0" fontId="0" fillId="4" borderId="2" xfId="0" applyFill="1" applyBorder="1"/>
    <xf numFmtId="0" fontId="0" fillId="4" borderId="1" xfId="0" applyFill="1" applyBorder="1" applyAlignment="1">
      <alignment vertical="center" wrapText="1"/>
    </xf>
    <xf numFmtId="0" fontId="0" fillId="0" borderId="0" xfId="0" applyBorder="1"/>
    <xf numFmtId="0" fontId="0" fillId="2" borderId="2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14</xdr:row>
      <xdr:rowOff>9525</xdr:rowOff>
    </xdr:from>
    <xdr:to>
      <xdr:col>2</xdr:col>
      <xdr:colOff>504825</xdr:colOff>
      <xdr:row>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58CE25-7DF7-45B6-803E-2CE3832C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781300"/>
          <a:ext cx="10572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76200</xdr:colOff>
      <xdr:row>14</xdr:row>
      <xdr:rowOff>9525</xdr:rowOff>
    </xdr:from>
    <xdr:to>
      <xdr:col>4</xdr:col>
      <xdr:colOff>447675</xdr:colOff>
      <xdr:row>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9D2E75-5E3A-4792-8789-F7C5B15E1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2781300"/>
          <a:ext cx="9810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64FD-CDD6-4DDA-AF50-BF3B706B5CC1}">
  <dimension ref="A1:I46"/>
  <sheetViews>
    <sheetView tabSelected="1" topLeftCell="A22" workbookViewId="0">
      <selection activeCell="M32" sqref="M32"/>
    </sheetView>
  </sheetViews>
  <sheetFormatPr defaultRowHeight="15" x14ac:dyDescent="0.25"/>
  <sheetData>
    <row r="1" spans="1:4" ht="15.75" thickBot="1" x14ac:dyDescent="0.3">
      <c r="A1" t="s">
        <v>16</v>
      </c>
      <c r="B1" s="2" t="s">
        <v>0</v>
      </c>
      <c r="C1" s="2" t="s">
        <v>1</v>
      </c>
      <c r="D1" s="2" t="s">
        <v>2</v>
      </c>
    </row>
    <row r="2" spans="1:4" ht="15.75" thickBot="1" x14ac:dyDescent="0.3">
      <c r="B2" s="5" t="s">
        <v>3</v>
      </c>
      <c r="C2" s="5">
        <v>2</v>
      </c>
      <c r="D2" s="5">
        <v>10</v>
      </c>
    </row>
    <row r="3" spans="1:4" ht="15.75" thickBot="1" x14ac:dyDescent="0.3">
      <c r="B3" s="1" t="s">
        <v>4</v>
      </c>
      <c r="C3" s="1">
        <v>2</v>
      </c>
      <c r="D3" s="1">
        <v>5</v>
      </c>
    </row>
    <row r="4" spans="1:4" ht="15.75" thickBot="1" x14ac:dyDescent="0.3">
      <c r="B4" s="8" t="s">
        <v>5</v>
      </c>
      <c r="C4" s="8">
        <v>8</v>
      </c>
      <c r="D4" s="8">
        <v>4</v>
      </c>
    </row>
    <row r="5" spans="1:4" ht="15.75" thickBot="1" x14ac:dyDescent="0.3">
      <c r="B5" s="1" t="s">
        <v>6</v>
      </c>
      <c r="C5" s="1">
        <v>5</v>
      </c>
      <c r="D5" s="1">
        <v>8</v>
      </c>
    </row>
    <row r="6" spans="1:4" ht="15.75" thickBot="1" x14ac:dyDescent="0.3">
      <c r="B6" s="1" t="s">
        <v>7</v>
      </c>
      <c r="C6" s="1">
        <v>7</v>
      </c>
      <c r="D6" s="1">
        <v>5</v>
      </c>
    </row>
    <row r="7" spans="1:4" ht="15.75" thickBot="1" x14ac:dyDescent="0.3">
      <c r="B7" s="1" t="s">
        <v>8</v>
      </c>
      <c r="C7" s="1">
        <v>6</v>
      </c>
      <c r="D7" s="1">
        <v>4</v>
      </c>
    </row>
    <row r="8" spans="1:4" ht="15.75" thickBot="1" x14ac:dyDescent="0.3">
      <c r="B8" s="1" t="s">
        <v>9</v>
      </c>
      <c r="C8" s="1">
        <v>1</v>
      </c>
      <c r="D8" s="1">
        <v>2</v>
      </c>
    </row>
    <row r="9" spans="1:4" ht="15.75" thickBot="1" x14ac:dyDescent="0.3">
      <c r="B9" s="1" t="s">
        <v>10</v>
      </c>
      <c r="C9" s="1">
        <v>4</v>
      </c>
      <c r="D9" s="1">
        <v>9</v>
      </c>
    </row>
    <row r="10" spans="1:4" ht="15.75" thickBot="1" x14ac:dyDescent="0.3">
      <c r="B10" s="1" t="s">
        <v>11</v>
      </c>
      <c r="C10" s="1">
        <v>3</v>
      </c>
      <c r="D10" s="1">
        <v>3</v>
      </c>
    </row>
    <row r="11" spans="1:4" ht="15.75" thickBot="1" x14ac:dyDescent="0.3">
      <c r="B11" s="1" t="s">
        <v>12</v>
      </c>
      <c r="C11" s="1">
        <v>7</v>
      </c>
      <c r="D11" s="1">
        <v>3</v>
      </c>
    </row>
    <row r="13" spans="1:4" x14ac:dyDescent="0.25">
      <c r="A13" t="s">
        <v>17</v>
      </c>
      <c r="B13" s="4" t="s">
        <v>18</v>
      </c>
    </row>
    <row r="15" spans="1:4" x14ac:dyDescent="0.25">
      <c r="A15" t="s">
        <v>19</v>
      </c>
    </row>
    <row r="17" spans="1:8" x14ac:dyDescent="0.25">
      <c r="A17" s="9" t="s">
        <v>20</v>
      </c>
      <c r="B17" s="3" t="s">
        <v>0</v>
      </c>
      <c r="C17" s="6" t="s">
        <v>14</v>
      </c>
      <c r="D17" s="7" t="s">
        <v>15</v>
      </c>
      <c r="E17" s="3" t="s">
        <v>13</v>
      </c>
      <c r="G17" s="3" t="s">
        <v>14</v>
      </c>
      <c r="H17" s="3" t="s">
        <v>15</v>
      </c>
    </row>
    <row r="18" spans="1:8" x14ac:dyDescent="0.25">
      <c r="A18" s="9"/>
      <c r="B18" s="3" t="s">
        <v>3</v>
      </c>
      <c r="C18" s="6">
        <f>SQRT((C2-$C$2)^2+(D2-$D$2)^2)</f>
        <v>0</v>
      </c>
      <c r="D18" s="7">
        <f>SQRT((C2-$C$4)^2+(D2-$D$4)^2)</f>
        <v>8.4852813742385695</v>
      </c>
      <c r="E18" s="3" t="str">
        <f>IF(C18&lt;D18, "C1", "C2")</f>
        <v>C1</v>
      </c>
      <c r="G18" s="3" t="s">
        <v>3</v>
      </c>
      <c r="H18" s="3" t="s">
        <v>21</v>
      </c>
    </row>
    <row r="19" spans="1:8" x14ac:dyDescent="0.25">
      <c r="A19" s="9"/>
      <c r="B19" s="3" t="s">
        <v>4</v>
      </c>
      <c r="C19" s="6">
        <f t="shared" ref="C19:D19" si="0">SQRT((C3-$C$2)^2+(D3-$D$2)^2)</f>
        <v>5</v>
      </c>
      <c r="D19" s="7">
        <f t="shared" ref="D19:D27" si="1">SQRT((C3-$C$4)^2+(D3-$D$4)^2)</f>
        <v>6.0827625302982193</v>
      </c>
      <c r="E19" s="3" t="str">
        <f t="shared" ref="E19:E27" si="2">IF(C19&lt;D19, "C1", "C2")</f>
        <v>C1</v>
      </c>
      <c r="G19" s="3" t="s">
        <v>4</v>
      </c>
      <c r="H19" s="3" t="s">
        <v>21</v>
      </c>
    </row>
    <row r="20" spans="1:8" x14ac:dyDescent="0.25">
      <c r="A20" s="9"/>
      <c r="B20" s="3" t="s">
        <v>5</v>
      </c>
      <c r="C20" s="6">
        <f t="shared" ref="C20:D20" si="3">SQRT((C4-$C$2)^2+(D4-$D$2)^2)</f>
        <v>8.4852813742385695</v>
      </c>
      <c r="D20" s="7">
        <f t="shared" si="1"/>
        <v>0</v>
      </c>
      <c r="E20" s="3" t="str">
        <f t="shared" si="2"/>
        <v>C2</v>
      </c>
      <c r="G20" s="3" t="s">
        <v>21</v>
      </c>
      <c r="H20" s="3" t="s">
        <v>5</v>
      </c>
    </row>
    <row r="21" spans="1:8" x14ac:dyDescent="0.25">
      <c r="A21" s="9"/>
      <c r="B21" s="3" t="s">
        <v>6</v>
      </c>
      <c r="C21" s="6">
        <f t="shared" ref="C21:D21" si="4">SQRT((C5-$C$2)^2+(D5-$D$2)^2)</f>
        <v>3.6055512754639891</v>
      </c>
      <c r="D21" s="7">
        <f t="shared" si="1"/>
        <v>5</v>
      </c>
      <c r="E21" s="3" t="str">
        <f t="shared" si="2"/>
        <v>C1</v>
      </c>
      <c r="G21" s="3" t="s">
        <v>6</v>
      </c>
      <c r="H21" s="3" t="s">
        <v>21</v>
      </c>
    </row>
    <row r="22" spans="1:8" x14ac:dyDescent="0.25">
      <c r="A22" s="9"/>
      <c r="B22" s="3" t="s">
        <v>7</v>
      </c>
      <c r="C22" s="6">
        <f t="shared" ref="C22:D22" si="5">SQRT((C6-$C$2)^2+(D6-$D$2)^2)</f>
        <v>7.0710678118654755</v>
      </c>
      <c r="D22" s="7">
        <f t="shared" si="1"/>
        <v>1.4142135623730951</v>
      </c>
      <c r="E22" s="3" t="str">
        <f t="shared" si="2"/>
        <v>C2</v>
      </c>
      <c r="G22" s="3" t="s">
        <v>21</v>
      </c>
      <c r="H22" s="3" t="s">
        <v>7</v>
      </c>
    </row>
    <row r="23" spans="1:8" x14ac:dyDescent="0.25">
      <c r="A23" s="9"/>
      <c r="B23" s="3" t="s">
        <v>8</v>
      </c>
      <c r="C23" s="6">
        <f t="shared" ref="C23:D23" si="6">SQRT((C7-$C$2)^2+(D7-$D$2)^2)</f>
        <v>7.2111025509279782</v>
      </c>
      <c r="D23" s="7">
        <f t="shared" si="1"/>
        <v>2</v>
      </c>
      <c r="E23" s="3" t="str">
        <f t="shared" si="2"/>
        <v>C2</v>
      </c>
      <c r="G23" s="3" t="s">
        <v>21</v>
      </c>
      <c r="H23" s="3" t="s">
        <v>8</v>
      </c>
    </row>
    <row r="24" spans="1:8" x14ac:dyDescent="0.25">
      <c r="A24" s="9"/>
      <c r="B24" s="3" t="s">
        <v>9</v>
      </c>
      <c r="C24" s="6">
        <f t="shared" ref="C24:D24" si="7">SQRT((C8-$C$2)^2+(D8-$D$2)^2)</f>
        <v>8.0622577482985491</v>
      </c>
      <c r="D24" s="7">
        <f t="shared" si="1"/>
        <v>7.2801098892805181</v>
      </c>
      <c r="E24" s="3" t="str">
        <f t="shared" si="2"/>
        <v>C2</v>
      </c>
      <c r="G24" s="3" t="s">
        <v>21</v>
      </c>
      <c r="H24" s="3" t="s">
        <v>9</v>
      </c>
    </row>
    <row r="25" spans="1:8" x14ac:dyDescent="0.25">
      <c r="A25" s="9"/>
      <c r="B25" s="3" t="s">
        <v>10</v>
      </c>
      <c r="C25" s="6">
        <f t="shared" ref="C25:D25" si="8">SQRT((C9-$C$2)^2+(D9-$D$2)^2)</f>
        <v>2.2360679774997898</v>
      </c>
      <c r="D25" s="7">
        <f t="shared" si="1"/>
        <v>6.4031242374328485</v>
      </c>
      <c r="E25" s="3" t="str">
        <f t="shared" si="2"/>
        <v>C1</v>
      </c>
      <c r="G25" s="3" t="s">
        <v>10</v>
      </c>
      <c r="H25" s="3" t="s">
        <v>21</v>
      </c>
    </row>
    <row r="26" spans="1:8" x14ac:dyDescent="0.25">
      <c r="A26" s="9"/>
      <c r="B26" s="3" t="s">
        <v>11</v>
      </c>
      <c r="C26" s="6">
        <f t="shared" ref="C26:D26" si="9">SQRT((C10-$C$2)^2+(D10-$D$2)^2)</f>
        <v>7.0710678118654755</v>
      </c>
      <c r="D26" s="7">
        <f t="shared" si="1"/>
        <v>5.0990195135927845</v>
      </c>
      <c r="E26" s="3" t="str">
        <f t="shared" si="2"/>
        <v>C2</v>
      </c>
      <c r="G26" s="3" t="s">
        <v>21</v>
      </c>
      <c r="H26" s="3" t="s">
        <v>11</v>
      </c>
    </row>
    <row r="27" spans="1:8" x14ac:dyDescent="0.25">
      <c r="A27" s="9"/>
      <c r="B27" s="3" t="s">
        <v>12</v>
      </c>
      <c r="C27" s="6">
        <f t="shared" ref="C27:D27" si="10">SQRT((C11-$C$2)^2+(D11-$D$2)^2)</f>
        <v>8.6023252670426267</v>
      </c>
      <c r="D27" s="7">
        <f t="shared" si="1"/>
        <v>1.4142135623730951</v>
      </c>
      <c r="E27" s="3" t="str">
        <f t="shared" si="2"/>
        <v>C2</v>
      </c>
      <c r="G27" s="3" t="s">
        <v>21</v>
      </c>
      <c r="H27" s="3" t="s">
        <v>12</v>
      </c>
    </row>
    <row r="29" spans="1:8" x14ac:dyDescent="0.25">
      <c r="A29" t="s">
        <v>22</v>
      </c>
      <c r="B29" s="3" t="s">
        <v>0</v>
      </c>
      <c r="C29" s="3" t="s">
        <v>1</v>
      </c>
      <c r="D29" s="3" t="s">
        <v>2</v>
      </c>
      <c r="F29" s="3" t="s">
        <v>0</v>
      </c>
      <c r="G29" s="3" t="s">
        <v>1</v>
      </c>
      <c r="H29" s="3" t="s">
        <v>2</v>
      </c>
    </row>
    <row r="30" spans="1:8" x14ac:dyDescent="0.25">
      <c r="B30" s="3" t="s">
        <v>3</v>
      </c>
      <c r="C30" s="3">
        <v>2</v>
      </c>
      <c r="D30" s="3">
        <v>10</v>
      </c>
      <c r="F30" s="3" t="s">
        <v>5</v>
      </c>
      <c r="G30" s="3">
        <v>8</v>
      </c>
      <c r="H30" s="3">
        <v>4</v>
      </c>
    </row>
    <row r="31" spans="1:8" x14ac:dyDescent="0.25">
      <c r="B31" s="3" t="s">
        <v>4</v>
      </c>
      <c r="C31" s="3">
        <v>2</v>
      </c>
      <c r="D31" s="3">
        <v>5</v>
      </c>
      <c r="F31" s="3" t="s">
        <v>7</v>
      </c>
      <c r="G31" s="3">
        <v>7</v>
      </c>
      <c r="H31" s="3">
        <v>5</v>
      </c>
    </row>
    <row r="32" spans="1:8" x14ac:dyDescent="0.25">
      <c r="B32" s="3" t="s">
        <v>6</v>
      </c>
      <c r="C32" s="3">
        <v>5</v>
      </c>
      <c r="D32" s="3">
        <v>8</v>
      </c>
      <c r="F32" s="3" t="s">
        <v>8</v>
      </c>
      <c r="G32" s="3">
        <v>6</v>
      </c>
      <c r="H32" s="3">
        <v>4</v>
      </c>
    </row>
    <row r="33" spans="1:9" x14ac:dyDescent="0.25">
      <c r="B33" s="3" t="s">
        <v>10</v>
      </c>
      <c r="C33" s="3">
        <v>4</v>
      </c>
      <c r="D33" s="3">
        <v>9</v>
      </c>
      <c r="F33" s="3" t="s">
        <v>9</v>
      </c>
      <c r="G33" s="3">
        <v>1</v>
      </c>
      <c r="H33" s="3">
        <v>2</v>
      </c>
    </row>
    <row r="34" spans="1:9" x14ac:dyDescent="0.25">
      <c r="B34" s="10" t="s">
        <v>14</v>
      </c>
      <c r="C34" s="10">
        <f>AVERAGE(C30:C33)</f>
        <v>3.25</v>
      </c>
      <c r="D34" s="10">
        <f>AVERAGE(D30:D33)</f>
        <v>8</v>
      </c>
      <c r="F34" s="3" t="s">
        <v>11</v>
      </c>
      <c r="G34" s="3">
        <v>3</v>
      </c>
      <c r="H34" s="3">
        <v>3</v>
      </c>
    </row>
    <row r="35" spans="1:9" x14ac:dyDescent="0.25">
      <c r="F35" s="3" t="s">
        <v>12</v>
      </c>
      <c r="G35" s="3">
        <v>7</v>
      </c>
      <c r="H35" s="3">
        <v>3</v>
      </c>
    </row>
    <row r="36" spans="1:9" x14ac:dyDescent="0.25">
      <c r="F36" s="10" t="s">
        <v>15</v>
      </c>
      <c r="G36" s="10">
        <f>AVERAGE(G30:G35)</f>
        <v>5.333333333333333</v>
      </c>
      <c r="H36" s="10">
        <f>AVERAGE(H30:H35)</f>
        <v>3.5</v>
      </c>
    </row>
    <row r="38" spans="1:9" x14ac:dyDescent="0.25">
      <c r="A38" t="s">
        <v>24</v>
      </c>
      <c r="B38" t="s">
        <v>26</v>
      </c>
      <c r="E38" t="s">
        <v>27</v>
      </c>
    </row>
    <row r="39" spans="1:9" x14ac:dyDescent="0.25">
      <c r="B39" s="3" t="s">
        <v>0</v>
      </c>
      <c r="C39" s="3" t="s">
        <v>25</v>
      </c>
      <c r="E39" s="3" t="s">
        <v>0</v>
      </c>
      <c r="F39" s="3" t="s">
        <v>25</v>
      </c>
    </row>
    <row r="40" spans="1:9" x14ac:dyDescent="0.25">
      <c r="B40" s="3" t="s">
        <v>3</v>
      </c>
      <c r="C40" s="3">
        <f>($C$34-C30)^2+($D$34-D30)^2</f>
        <v>5.5625</v>
      </c>
      <c r="E40" s="3" t="s">
        <v>5</v>
      </c>
      <c r="F40" s="3">
        <f>($G$36-G30)^2+($H$36-H30)^2</f>
        <v>7.3611111111111125</v>
      </c>
    </row>
    <row r="41" spans="1:9" x14ac:dyDescent="0.25">
      <c r="B41" s="3" t="s">
        <v>4</v>
      </c>
      <c r="C41" s="3">
        <f>($C$34-C31)^2+($D$34-D31)^2</f>
        <v>10.5625</v>
      </c>
      <c r="E41" s="3" t="s">
        <v>7</v>
      </c>
      <c r="F41" s="3">
        <f t="shared" ref="F41:F45" si="11">($G$36-G31)^2+($H$36-H31)^2</f>
        <v>5.0277777777777786</v>
      </c>
    </row>
    <row r="42" spans="1:9" x14ac:dyDescent="0.25">
      <c r="B42" s="3" t="s">
        <v>6</v>
      </c>
      <c r="C42" s="3">
        <f>($C$34-C32)^2+($D$34-D32)^2</f>
        <v>3.0625</v>
      </c>
      <c r="E42" s="3" t="s">
        <v>8</v>
      </c>
      <c r="F42" s="3">
        <f t="shared" si="11"/>
        <v>0.69444444444444486</v>
      </c>
    </row>
    <row r="43" spans="1:9" x14ac:dyDescent="0.25">
      <c r="B43" s="3" t="s">
        <v>10</v>
      </c>
      <c r="C43" s="3">
        <f>($C$34-C33)^2+($D$34-D33)^2</f>
        <v>1.5625</v>
      </c>
      <c r="E43" s="3" t="s">
        <v>9</v>
      </c>
      <c r="F43" s="3">
        <f t="shared" si="11"/>
        <v>21.027777777777775</v>
      </c>
    </row>
    <row r="44" spans="1:9" x14ac:dyDescent="0.25">
      <c r="B44" s="11" t="s">
        <v>23</v>
      </c>
      <c r="C44" s="3">
        <f>SUM(C40:C43)</f>
        <v>20.75</v>
      </c>
      <c r="E44" s="3" t="s">
        <v>11</v>
      </c>
      <c r="F44" s="3">
        <f t="shared" si="11"/>
        <v>5.6944444444444429</v>
      </c>
    </row>
    <row r="45" spans="1:9" x14ac:dyDescent="0.25">
      <c r="E45" s="3" t="s">
        <v>12</v>
      </c>
      <c r="F45" s="3">
        <f t="shared" si="11"/>
        <v>3.0277777777777786</v>
      </c>
    </row>
    <row r="46" spans="1:9" x14ac:dyDescent="0.25">
      <c r="E46" s="11" t="s">
        <v>23</v>
      </c>
      <c r="F46" s="3">
        <f>SUM(F40:F45)</f>
        <v>42.833333333333336</v>
      </c>
      <c r="H46" s="3" t="s">
        <v>23</v>
      </c>
      <c r="I46" s="3">
        <f>SUM(C44,F46)</f>
        <v>63.583333333333336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SWAMINATHAN A</dc:creator>
  <cp:lastModifiedBy>SWAMINATHAN A</cp:lastModifiedBy>
  <dcterms:created xsi:type="dcterms:W3CDTF">2026-03-26T05:35:58Z</dcterms:created>
  <dcterms:modified xsi:type="dcterms:W3CDTF">2026-03-26T06:10:46Z</dcterms:modified>
</cp:coreProperties>
</file>